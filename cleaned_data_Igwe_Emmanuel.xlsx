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m4ace assignment\"/>
    </mc:Choice>
  </mc:AlternateContent>
  <xr:revisionPtr revIDLastSave="0" documentId="8_{BE807E31-D6E0-4FC0-839F-37C99FBBA5BB}" xr6:coauthVersionLast="47" xr6:coauthVersionMax="47" xr10:uidLastSave="{00000000-0000-0000-0000-000000000000}"/>
  <bookViews>
    <workbookView xWindow="-110" yWindow="-110" windowWidth="19420" windowHeight="10420" xr2:uid="{62713298-4DC4-426F-976E-4DF74B70826F}"/>
  </bookViews>
  <sheets>
    <sheet name="cleaning_data_Igwe_Emmanuel" sheetId="1" r:id="rId1"/>
  </sheets>
  <calcPr calcId="0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" i="1"/>
</calcChain>
</file>

<file path=xl/sharedStrings.xml><?xml version="1.0" encoding="utf-8"?>
<sst xmlns="http://schemas.openxmlformats.org/spreadsheetml/2006/main" count="71" uniqueCount="49">
  <si>
    <t xml:space="preserve">JUAREZ, JOSE </t>
  </si>
  <si>
    <t>ADMIN</t>
  </si>
  <si>
    <t>INTERN</t>
  </si>
  <si>
    <t xml:space="preserve">ABRAHAM, JOHNNY </t>
  </si>
  <si>
    <t>ENGINEERING</t>
  </si>
  <si>
    <t>TRAINEE</t>
  </si>
  <si>
    <t>BAKER, SARAH</t>
  </si>
  <si>
    <t>SALES</t>
  </si>
  <si>
    <t>SALES EXECUTIVE</t>
  </si>
  <si>
    <t>BALOTELLI, BILLY</t>
  </si>
  <si>
    <t xml:space="preserve">BISHOP, TIANA </t>
  </si>
  <si>
    <t>MANAGER</t>
  </si>
  <si>
    <t>BOATENG, TERRYY</t>
  </si>
  <si>
    <t>ACCOUNTS</t>
  </si>
  <si>
    <t>COST ACCOUNTANT</t>
  </si>
  <si>
    <t xml:space="preserve">BOER, FRED </t>
  </si>
  <si>
    <t>MKTG</t>
  </si>
  <si>
    <t>DESIGNER</t>
  </si>
  <si>
    <t>BARKER, BETTY</t>
  </si>
  <si>
    <t xml:space="preserve">BURSTEYN , TOM </t>
  </si>
  <si>
    <t>SALES TRAINEE</t>
  </si>
  <si>
    <t xml:space="preserve">BURSTEYN, TAMMY </t>
  </si>
  <si>
    <t>BUSSER, BOBBY</t>
  </si>
  <si>
    <t>SENIOR ADMINISTRATOR</t>
  </si>
  <si>
    <t>CASCIEWICZ, KATHY</t>
  </si>
  <si>
    <t xml:space="preserve"> 12/15/2011</t>
  </si>
  <si>
    <t>SENIOR TECHNICIAN</t>
  </si>
  <si>
    <t xml:space="preserve">COLE, ASHLEY </t>
  </si>
  <si>
    <t>COOKSON, CHARLES</t>
  </si>
  <si>
    <t xml:space="preserve"> 04/03/2012</t>
  </si>
  <si>
    <t>R &amp; D</t>
  </si>
  <si>
    <t>VP</t>
  </si>
  <si>
    <t xml:space="preserve">CROSSLEY, ERIN </t>
  </si>
  <si>
    <t>TEAM LEADER</t>
  </si>
  <si>
    <t xml:space="preserve">DOE, JANE </t>
  </si>
  <si>
    <t xml:space="preserve">DOE, JOHN  </t>
  </si>
  <si>
    <t xml:space="preserve"> 06/05/2014</t>
  </si>
  <si>
    <t>DARNSTEIN, DANNY</t>
  </si>
  <si>
    <t xml:space="preserve"> 12/14/2011</t>
  </si>
  <si>
    <t xml:space="preserve">FALLENGRANO, BILL </t>
  </si>
  <si>
    <t xml:space="preserve"> 06/29/2001</t>
  </si>
  <si>
    <t>Hire Date</t>
  </si>
  <si>
    <t>Employee  Name</t>
  </si>
  <si>
    <t>Salary</t>
  </si>
  <si>
    <t>Dept</t>
  </si>
  <si>
    <t>Job Title</t>
  </si>
  <si>
    <t>Hire Date2</t>
  </si>
  <si>
    <t>Dept3</t>
  </si>
  <si>
    <t>Job Title4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</si>
</sst>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05532F-4E8F-44C2-98FD-165F3FE7E9D6}" name="Table2" displayName="Table2" ref="B1:I20" totalsRowShown="0">
  <autoFilter ref="B1:I20" xr:uid="{2C05532F-4E8F-44C2-98FD-165F3FE7E9D6}"/>
  <tableColumns count="8">
    <tableColumn id="1" xr3:uid="{D2290060-6C51-4D65-84AB-EC6EF0C5C114}" name="Employee  Name">
      <calculatedColumnFormula>PROPER(A2)</calculatedColumnFormula>
    </tableColumn>
    <tableColumn id="2" xr3:uid="{8438CB02-0105-40FE-BBD4-8B92EBBC02FB}" name="Hire Date"/>
    <tableColumn id="3" xr3:uid="{B2795B4A-ACA6-4094-8EAE-FD3CF52FFC1C}" name="Hire Date2" dataDxfId="1">
      <calculatedColumnFormula>VALUE(C2)</calculatedColumnFormula>
    </tableColumn>
    <tableColumn id="4" xr3:uid="{204ACC4B-B62B-4347-86ED-4BBDA0FBAFA4}" name="Salary" dataDxfId="0" dataCellStyle="Currency"/>
    <tableColumn id="5" xr3:uid="{101BE654-263E-4B27-A222-A3DC02CCB3B7}" name="Dept"/>
    <tableColumn id="6" xr3:uid="{6959C556-8571-4D7E-B2B3-99BA0BF3F0A6}" name="Dept3">
      <calculatedColumnFormula>SUBSTITUTE(PROPER(F2),"Mktg","Marketing")</calculatedColumnFormula>
    </tableColumn>
    <tableColumn id="7" xr3:uid="{6489697A-1F2B-4E4B-84DD-01F880E2F168}" name="Job Title"/>
    <tableColumn id="8" xr3:uid="{4211E48A-836E-405D-908F-C177FDF75AF8}" name="Job Title4">
      <calculatedColumnFormula>PROPER(H2)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F5FC-7982-483F-94AD-8AB67E2D1B29}">
  <dimension ref="A1:I20"/>
  <sheetViews>
    <sheetView tabSelected="1" topLeftCell="B1" workbookViewId="0">
      <selection activeCell="L13" sqref="L13"/>
    </sheetView>
  </sheetViews>
  <sheetFormatPr defaultRowHeight="14.5" x14ac:dyDescent="0.35"/>
  <cols>
    <col min="1" max="1" width="17.90625" hidden="1" customWidth="1"/>
    <col min="2" max="2" width="44.7265625" customWidth="1"/>
    <col min="3" max="3" width="10.90625" hidden="1" customWidth="1"/>
    <col min="4" max="4" width="11.6328125" style="1" customWidth="1"/>
    <col min="5" max="5" width="11.08984375" style="2" bestFit="1" customWidth="1"/>
    <col min="6" max="6" width="12.36328125" hidden="1" customWidth="1"/>
    <col min="7" max="7" width="12.36328125" customWidth="1"/>
    <col min="8" max="8" width="21.90625" hidden="1" customWidth="1"/>
    <col min="9" max="9" width="18.26953125" bestFit="1" customWidth="1"/>
  </cols>
  <sheetData>
    <row r="1" spans="1:9" x14ac:dyDescent="0.35">
      <c r="A1" t="s">
        <v>42</v>
      </c>
      <c r="B1" t="s">
        <v>42</v>
      </c>
      <c r="C1" t="s">
        <v>41</v>
      </c>
      <c r="D1" t="s">
        <v>46</v>
      </c>
      <c r="E1" s="2" t="s">
        <v>43</v>
      </c>
      <c r="F1" t="s">
        <v>44</v>
      </c>
      <c r="G1" t="s">
        <v>47</v>
      </c>
      <c r="H1" t="s">
        <v>45</v>
      </c>
      <c r="I1" t="s">
        <v>48</v>
      </c>
    </row>
    <row r="2" spans="1:9" x14ac:dyDescent="0.35">
      <c r="A2" t="s">
        <v>0</v>
      </c>
      <c r="B2" t="str">
        <f>PROPER(A2)</f>
        <v xml:space="preserve">Juarez, Jose </v>
      </c>
      <c r="C2">
        <v>41297</v>
      </c>
      <c r="D2" s="1">
        <f>VALUE(C2)</f>
        <v>41297</v>
      </c>
      <c r="E2" s="2">
        <v>39000</v>
      </c>
      <c r="F2" t="s">
        <v>1</v>
      </c>
      <c r="G2" t="str">
        <f>SUBSTITUTE(PROPER(F2),"Mktg","Marketing")</f>
        <v>Admin</v>
      </c>
      <c r="H2" t="s">
        <v>2</v>
      </c>
      <c r="I2" t="str">
        <f>PROPER(H2)</f>
        <v>Intern</v>
      </c>
    </row>
    <row r="3" spans="1:9" x14ac:dyDescent="0.35">
      <c r="A3" t="s">
        <v>3</v>
      </c>
      <c r="B3" t="str">
        <f t="shared" ref="B3:B20" si="0">PROPER(A3)</f>
        <v xml:space="preserve">Abraham, Johnny </v>
      </c>
      <c r="C3" s="1">
        <v>41363</v>
      </c>
      <c r="D3" s="1">
        <f t="shared" ref="D3:D20" si="1">VALUE(C3)</f>
        <v>41363</v>
      </c>
      <c r="E3" s="2">
        <v>27000</v>
      </c>
      <c r="F3" t="s">
        <v>4</v>
      </c>
      <c r="G3" t="str">
        <f t="shared" ref="G3:G20" si="2">SUBSTITUTE(PROPER(F3),"Mktg","Marketing")</f>
        <v>Engineering</v>
      </c>
      <c r="H3" t="s">
        <v>5</v>
      </c>
      <c r="I3" t="str">
        <f t="shared" ref="I3:I20" si="3">PROPER(H3)</f>
        <v>Trainee</v>
      </c>
    </row>
    <row r="4" spans="1:9" x14ac:dyDescent="0.35">
      <c r="A4" t="s">
        <v>6</v>
      </c>
      <c r="B4" t="str">
        <f t="shared" si="0"/>
        <v>Baker, Sarah</v>
      </c>
      <c r="C4" s="1">
        <v>42124</v>
      </c>
      <c r="D4" s="1">
        <f t="shared" si="1"/>
        <v>42124</v>
      </c>
      <c r="E4" s="2">
        <v>36000</v>
      </c>
      <c r="F4" t="s">
        <v>7</v>
      </c>
      <c r="G4" t="str">
        <f t="shared" si="2"/>
        <v>Sales</v>
      </c>
      <c r="H4" t="s">
        <v>8</v>
      </c>
      <c r="I4" t="str">
        <f t="shared" si="3"/>
        <v>Sales Executive</v>
      </c>
    </row>
    <row r="5" spans="1:9" x14ac:dyDescent="0.35">
      <c r="A5" t="s">
        <v>9</v>
      </c>
      <c r="B5" t="str">
        <f t="shared" si="0"/>
        <v>Balotelli, Billy</v>
      </c>
      <c r="C5" s="1">
        <v>39401</v>
      </c>
      <c r="D5" s="1">
        <f t="shared" si="1"/>
        <v>39401</v>
      </c>
      <c r="E5" s="2">
        <v>23900</v>
      </c>
      <c r="F5" t="s">
        <v>4</v>
      </c>
      <c r="G5" t="str">
        <f t="shared" si="2"/>
        <v>Engineering</v>
      </c>
      <c r="H5" t="s">
        <v>2</v>
      </c>
      <c r="I5" t="str">
        <f t="shared" si="3"/>
        <v>Intern</v>
      </c>
    </row>
    <row r="6" spans="1:9" x14ac:dyDescent="0.35">
      <c r="A6" t="s">
        <v>10</v>
      </c>
      <c r="B6" t="str">
        <f t="shared" si="0"/>
        <v xml:space="preserve">Bishop, Tiana </v>
      </c>
      <c r="C6">
        <v>37959</v>
      </c>
      <c r="D6" s="1">
        <f t="shared" si="1"/>
        <v>37959</v>
      </c>
      <c r="E6" s="2">
        <v>46500</v>
      </c>
      <c r="F6" t="s">
        <v>4</v>
      </c>
      <c r="G6" t="str">
        <f t="shared" si="2"/>
        <v>Engineering</v>
      </c>
      <c r="H6" t="s">
        <v>11</v>
      </c>
      <c r="I6" t="str">
        <f t="shared" si="3"/>
        <v>Manager</v>
      </c>
    </row>
    <row r="7" spans="1:9" x14ac:dyDescent="0.35">
      <c r="A7" t="s">
        <v>12</v>
      </c>
      <c r="B7" t="str">
        <f t="shared" si="0"/>
        <v>Boateng, Terryy</v>
      </c>
      <c r="C7" s="1">
        <v>40021</v>
      </c>
      <c r="D7" s="1">
        <f t="shared" si="1"/>
        <v>40021</v>
      </c>
      <c r="E7" s="2">
        <v>50000</v>
      </c>
      <c r="F7" t="s">
        <v>13</v>
      </c>
      <c r="G7" t="str">
        <f t="shared" si="2"/>
        <v>Accounts</v>
      </c>
      <c r="H7" t="s">
        <v>14</v>
      </c>
      <c r="I7" t="str">
        <f t="shared" si="3"/>
        <v>Cost Accountant</v>
      </c>
    </row>
    <row r="8" spans="1:9" x14ac:dyDescent="0.35">
      <c r="A8" t="s">
        <v>15</v>
      </c>
      <c r="B8" t="str">
        <f t="shared" si="0"/>
        <v xml:space="preserve">Boer, Fred </v>
      </c>
      <c r="C8" s="1">
        <v>40535</v>
      </c>
      <c r="D8" s="1">
        <f t="shared" si="1"/>
        <v>40535</v>
      </c>
      <c r="E8" s="2">
        <v>46000</v>
      </c>
      <c r="F8" t="s">
        <v>16</v>
      </c>
      <c r="G8" t="str">
        <f t="shared" si="2"/>
        <v>Marketing</v>
      </c>
      <c r="H8" t="s">
        <v>17</v>
      </c>
      <c r="I8" t="str">
        <f t="shared" si="3"/>
        <v>Designer</v>
      </c>
    </row>
    <row r="9" spans="1:9" x14ac:dyDescent="0.35">
      <c r="A9" t="s">
        <v>18</v>
      </c>
      <c r="B9" t="str">
        <f t="shared" si="0"/>
        <v>Barker, Betty</v>
      </c>
      <c r="C9" s="1">
        <v>39288</v>
      </c>
      <c r="D9" s="1">
        <f t="shared" si="1"/>
        <v>39288</v>
      </c>
      <c r="E9" s="2">
        <v>43500</v>
      </c>
      <c r="F9" t="s">
        <v>7</v>
      </c>
      <c r="G9" t="str">
        <f t="shared" si="2"/>
        <v>Sales</v>
      </c>
      <c r="H9" t="s">
        <v>8</v>
      </c>
      <c r="I9" t="str">
        <f t="shared" si="3"/>
        <v>Sales Executive</v>
      </c>
    </row>
    <row r="10" spans="1:9" x14ac:dyDescent="0.35">
      <c r="A10" t="s">
        <v>19</v>
      </c>
      <c r="B10" t="str">
        <f t="shared" si="0"/>
        <v xml:space="preserve">Bursteyn , Tom </v>
      </c>
      <c r="C10">
        <v>36834</v>
      </c>
      <c r="D10" s="1">
        <f t="shared" si="1"/>
        <v>36834</v>
      </c>
      <c r="E10" s="2">
        <v>21000</v>
      </c>
      <c r="F10" t="s">
        <v>7</v>
      </c>
      <c r="G10" t="str">
        <f t="shared" si="2"/>
        <v>Sales</v>
      </c>
      <c r="H10" t="s">
        <v>20</v>
      </c>
      <c r="I10" t="str">
        <f t="shared" si="3"/>
        <v>Sales Trainee</v>
      </c>
    </row>
    <row r="11" spans="1:9" x14ac:dyDescent="0.35">
      <c r="A11" t="s">
        <v>21</v>
      </c>
      <c r="B11" t="str">
        <f t="shared" si="0"/>
        <v xml:space="preserve">Bursteyn, Tammy </v>
      </c>
      <c r="C11">
        <v>38238</v>
      </c>
      <c r="D11" s="1">
        <f t="shared" si="1"/>
        <v>38238</v>
      </c>
      <c r="E11" s="2">
        <v>38000</v>
      </c>
      <c r="F11" t="s">
        <v>7</v>
      </c>
      <c r="G11" t="str">
        <f t="shared" si="2"/>
        <v>Sales</v>
      </c>
      <c r="H11" t="s">
        <v>8</v>
      </c>
      <c r="I11" t="str">
        <f t="shared" si="3"/>
        <v>Sales Executive</v>
      </c>
    </row>
    <row r="12" spans="1:9" x14ac:dyDescent="0.35">
      <c r="A12" t="s">
        <v>22</v>
      </c>
      <c r="B12" t="str">
        <f t="shared" si="0"/>
        <v>Busser, Bobby</v>
      </c>
      <c r="C12">
        <v>37417</v>
      </c>
      <c r="D12" s="1">
        <f t="shared" si="1"/>
        <v>37417</v>
      </c>
      <c r="E12" s="2">
        <v>29950</v>
      </c>
      <c r="F12" t="s">
        <v>13</v>
      </c>
      <c r="G12" t="str">
        <f t="shared" si="2"/>
        <v>Accounts</v>
      </c>
      <c r="H12" t="s">
        <v>23</v>
      </c>
      <c r="I12" t="str">
        <f t="shared" si="3"/>
        <v>Senior Administrator</v>
      </c>
    </row>
    <row r="13" spans="1:9" x14ac:dyDescent="0.35">
      <c r="A13" t="s">
        <v>24</v>
      </c>
      <c r="B13" t="str">
        <f t="shared" si="0"/>
        <v>Casciewicz, Kathy</v>
      </c>
      <c r="C13" t="s">
        <v>25</v>
      </c>
      <c r="D13" s="1">
        <f t="shared" si="1"/>
        <v>40892</v>
      </c>
      <c r="E13" s="2">
        <v>41000</v>
      </c>
      <c r="F13" t="s">
        <v>7</v>
      </c>
      <c r="G13" t="str">
        <f t="shared" si="2"/>
        <v>Sales</v>
      </c>
      <c r="H13" t="s">
        <v>26</v>
      </c>
      <c r="I13" t="str">
        <f t="shared" si="3"/>
        <v>Senior Technician</v>
      </c>
    </row>
    <row r="14" spans="1:9" x14ac:dyDescent="0.35">
      <c r="A14" t="s">
        <v>27</v>
      </c>
      <c r="B14" t="str">
        <f t="shared" si="0"/>
        <v xml:space="preserve">Cole, Ashley </v>
      </c>
      <c r="C14">
        <v>40483</v>
      </c>
      <c r="D14" s="1">
        <f t="shared" si="1"/>
        <v>40483</v>
      </c>
      <c r="E14" s="2">
        <v>54000</v>
      </c>
      <c r="F14" t="s">
        <v>7</v>
      </c>
      <c r="G14" t="str">
        <f t="shared" si="2"/>
        <v>Sales</v>
      </c>
      <c r="H14" t="s">
        <v>14</v>
      </c>
      <c r="I14" t="str">
        <f t="shared" si="3"/>
        <v>Cost Accountant</v>
      </c>
    </row>
    <row r="15" spans="1:9" x14ac:dyDescent="0.35">
      <c r="A15" t="s">
        <v>28</v>
      </c>
      <c r="B15" t="str">
        <f t="shared" si="0"/>
        <v>Cookson, Charles</v>
      </c>
      <c r="C15" t="s">
        <v>29</v>
      </c>
      <c r="D15" s="1">
        <f t="shared" si="1"/>
        <v>41002</v>
      </c>
      <c r="E15" s="2">
        <v>63200</v>
      </c>
      <c r="F15" t="s">
        <v>30</v>
      </c>
      <c r="G15" t="str">
        <f t="shared" si="2"/>
        <v>R &amp; D</v>
      </c>
      <c r="H15" t="s">
        <v>31</v>
      </c>
      <c r="I15" t="str">
        <f t="shared" si="3"/>
        <v>Vp</v>
      </c>
    </row>
    <row r="16" spans="1:9" x14ac:dyDescent="0.35">
      <c r="A16" t="s">
        <v>32</v>
      </c>
      <c r="B16" t="str">
        <f t="shared" si="0"/>
        <v xml:space="preserve">Crossley, Erin </v>
      </c>
      <c r="C16" s="1">
        <v>39926</v>
      </c>
      <c r="D16" s="1">
        <f t="shared" si="1"/>
        <v>39926</v>
      </c>
      <c r="E16" s="2">
        <v>46000</v>
      </c>
      <c r="F16" t="s">
        <v>1</v>
      </c>
      <c r="G16" t="str">
        <f t="shared" si="2"/>
        <v>Admin</v>
      </c>
      <c r="H16" t="s">
        <v>33</v>
      </c>
      <c r="I16" t="str">
        <f t="shared" si="3"/>
        <v>Team Leader</v>
      </c>
    </row>
    <row r="17" spans="1:9" x14ac:dyDescent="0.35">
      <c r="A17" t="s">
        <v>34</v>
      </c>
      <c r="B17" t="str">
        <f t="shared" si="0"/>
        <v xml:space="preserve">Doe, Jane </v>
      </c>
      <c r="C17" s="1">
        <v>42210</v>
      </c>
      <c r="D17" s="1">
        <f t="shared" si="1"/>
        <v>42210</v>
      </c>
      <c r="E17" s="2">
        <v>21500</v>
      </c>
      <c r="F17" t="s">
        <v>30</v>
      </c>
      <c r="G17" t="str">
        <f t="shared" si="2"/>
        <v>R &amp; D</v>
      </c>
      <c r="H17" t="s">
        <v>5</v>
      </c>
      <c r="I17" t="str">
        <f t="shared" si="3"/>
        <v>Trainee</v>
      </c>
    </row>
    <row r="18" spans="1:9" x14ac:dyDescent="0.35">
      <c r="A18" t="s">
        <v>35</v>
      </c>
      <c r="B18" t="str">
        <f t="shared" si="0"/>
        <v xml:space="preserve">Doe, John  </v>
      </c>
      <c r="C18" t="s">
        <v>36</v>
      </c>
      <c r="D18" s="1">
        <f t="shared" si="1"/>
        <v>41795</v>
      </c>
      <c r="E18" s="2">
        <v>45600</v>
      </c>
      <c r="F18" t="s">
        <v>4</v>
      </c>
      <c r="G18" t="str">
        <f t="shared" si="2"/>
        <v>Engineering</v>
      </c>
      <c r="H18" t="s">
        <v>2</v>
      </c>
      <c r="I18" t="str">
        <f t="shared" si="3"/>
        <v>Intern</v>
      </c>
    </row>
    <row r="19" spans="1:9" x14ac:dyDescent="0.35">
      <c r="A19" t="s">
        <v>37</v>
      </c>
      <c r="B19" t="str">
        <f t="shared" si="0"/>
        <v>Darnstein, Danny</v>
      </c>
      <c r="C19" t="s">
        <v>38</v>
      </c>
      <c r="D19" s="1">
        <f t="shared" si="1"/>
        <v>40891</v>
      </c>
      <c r="E19" s="2">
        <v>52000</v>
      </c>
      <c r="F19" t="s">
        <v>4</v>
      </c>
      <c r="G19" t="str">
        <f t="shared" si="2"/>
        <v>Engineering</v>
      </c>
      <c r="H19" t="s">
        <v>14</v>
      </c>
      <c r="I19" t="str">
        <f t="shared" si="3"/>
        <v>Cost Accountant</v>
      </c>
    </row>
    <row r="20" spans="1:9" x14ac:dyDescent="0.35">
      <c r="A20" t="s">
        <v>39</v>
      </c>
      <c r="B20" t="str">
        <f t="shared" si="0"/>
        <v xml:space="preserve">Fallengrano, Bill </v>
      </c>
      <c r="C20" t="s">
        <v>40</v>
      </c>
      <c r="D20" s="1">
        <f t="shared" si="1"/>
        <v>37071</v>
      </c>
      <c r="E20" s="2">
        <v>56750</v>
      </c>
      <c r="F20" t="s">
        <v>4</v>
      </c>
      <c r="G20" t="str">
        <f t="shared" si="2"/>
        <v>Engineering</v>
      </c>
      <c r="H20" t="s">
        <v>23</v>
      </c>
      <c r="I20" t="str">
        <f t="shared" si="3"/>
        <v>Senior Administrator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cleaning_data_Igwe_Emmanuel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2026-02-25T03:36:29Z</dcterms:created>
  <dcterms:modified xsi:type="dcterms:W3CDTF">2026-02-25T03:37:42Z</dcterms:modified>
</cp:coreProperties>
</file>